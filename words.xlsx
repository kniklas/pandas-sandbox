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amil/git/kniklas/pandas-sandbox/"/>
    </mc:Choice>
  </mc:AlternateContent>
  <xr:revisionPtr revIDLastSave="0" documentId="13_ncr:1_{8DB12C82-9526-224F-8DAA-B8E1E014D68E}" xr6:coauthVersionLast="47" xr6:coauthVersionMax="47" xr10:uidLastSave="{00000000-0000-0000-0000-000000000000}"/>
  <bookViews>
    <workbookView xWindow="1560" yWindow="540" windowWidth="31900" windowHeight="18960" xr2:uid="{99966FA7-7D5C-D84F-B286-4AB865450C0C}"/>
  </bookViews>
  <sheets>
    <sheet name="words list" sheetId="1" r:id="rId1"/>
    <sheet name="dics" sheetId="3" r:id="rId2"/>
  </sheets>
  <definedNames>
    <definedName name="_xlnm._FilterDatabase" localSheetId="0" hidden="1">'words list'!$A$1:$K$1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4" i="1"/>
  <c r="F5" i="1"/>
  <c r="F6" i="1"/>
  <c r="F7" i="1"/>
  <c r="F2" i="1"/>
  <c r="F3" i="1"/>
</calcChain>
</file>

<file path=xl/sharedStrings.xml><?xml version="1.0" encoding="utf-8"?>
<sst xmlns="http://schemas.openxmlformats.org/spreadsheetml/2006/main" count="67" uniqueCount="47">
  <si>
    <t>group</t>
  </si>
  <si>
    <t>source</t>
  </si>
  <si>
    <t>family</t>
  </si>
  <si>
    <t>word / phrase</t>
  </si>
  <si>
    <t>type</t>
  </si>
  <si>
    <t>def no</t>
  </si>
  <si>
    <t>meaning 1</t>
  </si>
  <si>
    <t>meaning 2</t>
  </si>
  <si>
    <t>meaning 3</t>
  </si>
  <si>
    <t>meaning 4</t>
  </si>
  <si>
    <t>meaning 5</t>
  </si>
  <si>
    <t>B2</t>
  </si>
  <si>
    <t>(v)</t>
  </si>
  <si>
    <t>(n)</t>
  </si>
  <si>
    <t>C1</t>
  </si>
  <si>
    <t>(adj)</t>
  </si>
  <si>
    <t>(adv)</t>
  </si>
  <si>
    <t>(conj)</t>
  </si>
  <si>
    <t>C2</t>
  </si>
  <si>
    <t>(id)</t>
  </si>
  <si>
    <t>(prep)</t>
  </si>
  <si>
    <t>Oxford</t>
  </si>
  <si>
    <t>(n; v)</t>
  </si>
  <si>
    <t>(phv)</t>
  </si>
  <si>
    <t>(phr)</t>
  </si>
  <si>
    <t>Jobs</t>
  </si>
  <si>
    <t>custodian</t>
  </si>
  <si>
    <t>opiekun</t>
  </si>
  <si>
    <t>AmE: dozorca/woźny (BrE: caretaker)</t>
  </si>
  <si>
    <t>demote</t>
  </si>
  <si>
    <t>degradacja</t>
  </si>
  <si>
    <t>Opinion and agrument</t>
  </si>
  <si>
    <t>kłótliwy</t>
  </si>
  <si>
    <t>contend</t>
  </si>
  <si>
    <t>rywalizować, walczyć</t>
  </si>
  <si>
    <t>twierdzić, podtrzymywać</t>
  </si>
  <si>
    <t>contentious</t>
  </si>
  <si>
    <t>kontrowersyjny, sporny</t>
  </si>
  <si>
    <t>fight it out / fight out</t>
  </si>
  <si>
    <t>roztrzygać przez walkę</t>
  </si>
  <si>
    <t>for that matter</t>
  </si>
  <si>
    <t>również, tak samo</t>
  </si>
  <si>
    <t>types</t>
  </si>
  <si>
    <t>(adj; n)</t>
  </si>
  <si>
    <t>level</t>
  </si>
  <si>
    <t>Initial</t>
  </si>
  <si>
    <t>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</si>
</sst>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556A-6A0F-7943-BCA3-0D4697C969F4}">
  <dimension ref="A1:K14"/>
  <sheetViews>
    <sheetView tabSelected="1" zoomScale="120" zoomScaleNormal="120" workbookViewId="0">
      <pane ySplit="1" topLeftCell="A2" activePane="bottomLeft" state="frozen"/>
      <selection pane="bottomLeft" activeCell="C6" sqref="C6"/>
    </sheetView>
  </sheetViews>
  <sheetFormatPr baseColWidth="10" defaultColWidth="11" defaultRowHeight="16" x14ac:dyDescent="0.2"/>
  <cols>
    <col min="3" max="3" width="22.6640625" bestFit="1" customWidth="1"/>
    <col min="4" max="4" width="38.1640625" customWidth="1"/>
    <col min="6" max="6" width="6.1640625" customWidth="1"/>
    <col min="7" max="10" width="26.83203125" customWidth="1"/>
    <col min="11" max="11" width="28.1640625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t="s">
        <v>18</v>
      </c>
      <c r="B2" t="s">
        <v>21</v>
      </c>
      <c r="C2" t="s">
        <v>25</v>
      </c>
      <c r="D2" t="s">
        <v>26</v>
      </c>
      <c r="E2" t="s">
        <v>13</v>
      </c>
      <c r="F2" s="3">
        <f t="shared" ref="F2:F3" si="0">IF(COUNTA(G2:K2)=0,"",COUNTA(G2:K2))</f>
        <v>2</v>
      </c>
      <c r="G2" t="s">
        <v>27</v>
      </c>
      <c r="H2" t="s">
        <v>28</v>
      </c>
    </row>
    <row r="3" spans="1:11" x14ac:dyDescent="0.2">
      <c r="A3" t="s">
        <v>18</v>
      </c>
      <c r="B3" t="s">
        <v>21</v>
      </c>
      <c r="C3" t="s">
        <v>25</v>
      </c>
      <c r="D3" t="s">
        <v>29</v>
      </c>
      <c r="E3" t="s">
        <v>12</v>
      </c>
      <c r="F3" s="3">
        <f t="shared" si="0"/>
        <v>1</v>
      </c>
      <c r="G3" t="s">
        <v>30</v>
      </c>
    </row>
    <row r="4" spans="1:11" x14ac:dyDescent="0.2">
      <c r="A4" t="s">
        <v>14</v>
      </c>
      <c r="B4" t="s">
        <v>21</v>
      </c>
      <c r="C4" t="s">
        <v>31</v>
      </c>
      <c r="D4" t="s">
        <v>33</v>
      </c>
      <c r="E4" t="s">
        <v>12</v>
      </c>
      <c r="F4" s="3">
        <f t="shared" ref="F4:F7" si="1">IF(COUNTA(G4:K4)=0,"",COUNTA(G4:K4))</f>
        <v>2</v>
      </c>
      <c r="G4" t="s">
        <v>34</v>
      </c>
      <c r="H4" t="s">
        <v>35</v>
      </c>
    </row>
    <row r="5" spans="1:11" x14ac:dyDescent="0.2">
      <c r="A5" t="s">
        <v>14</v>
      </c>
      <c r="B5" t="s">
        <v>21</v>
      </c>
      <c r="C5" t="s">
        <v>31</v>
      </c>
      <c r="D5" t="s">
        <v>36</v>
      </c>
      <c r="E5" t="s">
        <v>15</v>
      </c>
      <c r="F5" s="3">
        <f t="shared" si="1"/>
        <v>2</v>
      </c>
      <c r="G5" t="s">
        <v>37</v>
      </c>
      <c r="H5" t="s">
        <v>32</v>
      </c>
    </row>
    <row r="6" spans="1:11" x14ac:dyDescent="0.2">
      <c r="A6" t="s">
        <v>14</v>
      </c>
      <c r="B6" t="s">
        <v>21</v>
      </c>
      <c r="C6" t="s">
        <v>31</v>
      </c>
      <c r="D6" t="s">
        <v>38</v>
      </c>
      <c r="E6" t="s">
        <v>23</v>
      </c>
      <c r="F6" s="3">
        <f t="shared" si="1"/>
        <v>1</v>
      </c>
      <c r="G6" t="s">
        <v>39</v>
      </c>
    </row>
    <row r="7" spans="1:11" x14ac:dyDescent="0.2">
      <c r="A7" t="s">
        <v>14</v>
      </c>
      <c r="B7" t="s">
        <v>21</v>
      </c>
      <c r="C7" t="s">
        <v>31</v>
      </c>
      <c r="D7" t="s">
        <v>40</v>
      </c>
      <c r="E7" t="s">
        <v>19</v>
      </c>
      <c r="F7" s="3">
        <f t="shared" si="1"/>
        <v>1</v>
      </c>
      <c r="G7" t="s">
        <v>41</v>
      </c>
    </row>
    <row r="8" spans="1:11" x14ac:dyDescent="0.2">
      <c r="F8" s="3" t="str">
        <f t="shared" ref="F8:F14" si="2">IF(COUNTA(G8:K8)=0,"",COUNTA(G8:K8))</f>
        <v/>
      </c>
    </row>
    <row r="9" spans="1:11" x14ac:dyDescent="0.2">
      <c r="F9" s="3" t="str">
        <f t="shared" si="2"/>
        <v/>
      </c>
    </row>
    <row r="10" spans="1:11" x14ac:dyDescent="0.2">
      <c r="F10" s="3" t="str">
        <f t="shared" si="2"/>
        <v/>
      </c>
    </row>
    <row r="11" spans="1:11" x14ac:dyDescent="0.2">
      <c r="F11" s="3" t="str">
        <f t="shared" si="2"/>
        <v/>
      </c>
    </row>
    <row r="12" spans="1:11" x14ac:dyDescent="0.2">
      <c r="F12" s="3" t="str">
        <f t="shared" si="2"/>
        <v/>
      </c>
    </row>
    <row r="13" spans="1:11" x14ac:dyDescent="0.2">
      <c r="F13" s="3" t="str">
        <f t="shared" si="2"/>
        <v/>
      </c>
    </row>
    <row r="14" spans="1:11" x14ac:dyDescent="0.2">
      <c r="F14" s="3" t="str">
        <f t="shared" si="2"/>
        <v/>
      </c>
    </row>
  </sheetData>
  <autoFilter ref="A1:K1" xr:uid="{62A7556A-6A0F-7943-BCA3-0D4697C969F4}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94CA5D-CF45-F44B-AF45-942701AF8B34}">
          <x14:formula1>
            <xm:f>dics!$B$1:$K$1</xm:f>
          </x14:formula1>
          <xm:sqref>E2:E3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A254-06BD-074C-A940-A8C6B94460EC}">
  <dimension ref="A1:K3"/>
  <sheetViews>
    <sheetView workbookViewId="0">
      <selection activeCell="K2" sqref="K2"/>
    </sheetView>
  </sheetViews>
  <sheetFormatPr baseColWidth="10" defaultColWidth="11" defaultRowHeight="16" x14ac:dyDescent="0.2"/>
  <sheetData>
    <row r="1" spans="1:11" x14ac:dyDescent="0.2">
      <c r="A1" s="1" t="s">
        <v>42</v>
      </c>
      <c r="B1" t="s">
        <v>13</v>
      </c>
      <c r="C1" t="s">
        <v>12</v>
      </c>
      <c r="D1" t="s">
        <v>16</v>
      </c>
      <c r="E1" t="s">
        <v>15</v>
      </c>
      <c r="F1" t="s">
        <v>24</v>
      </c>
      <c r="G1" t="s">
        <v>19</v>
      </c>
      <c r="H1" t="s">
        <v>22</v>
      </c>
      <c r="I1" t="s">
        <v>43</v>
      </c>
      <c r="J1" t="s">
        <v>17</v>
      </c>
      <c r="K1" t="s">
        <v>20</v>
      </c>
    </row>
    <row r="2" spans="1:11" x14ac:dyDescent="0.2">
      <c r="A2" t="s">
        <v>44</v>
      </c>
      <c r="B2" t="s">
        <v>11</v>
      </c>
      <c r="C2" t="s">
        <v>14</v>
      </c>
      <c r="D2" t="s">
        <v>18</v>
      </c>
    </row>
    <row r="3" spans="1:11" x14ac:dyDescent="0.2">
      <c r="A3" t="s">
        <v>45</v>
      </c>
      <c r="B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 list</vt:lpstr>
      <vt:lpstr>dics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Kamil Niklasiński</dc:creator>
  <cp:keywords/>
  <dc:description/>
  <cp:lastModifiedBy>Kamil Niklasiński</cp:lastModifiedBy>
  <cp:revision/>
  <dcterms:created xsi:type="dcterms:W3CDTF">2024-10-11T21:38:21Z</dcterms:created>
  <dcterms:modified xsi:type="dcterms:W3CDTF">2025-11-15T13:52:04Z</dcterms:modified>
  <cp:category/>
  <cp:contentStatus/>
</cp:coreProperties>
</file>